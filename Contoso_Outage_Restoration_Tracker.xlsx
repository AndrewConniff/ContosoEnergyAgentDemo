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0" documentId="11_28434487EC5E77E93A92FB8A0C48C139C92C4702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Outage Log" sheetId="1" r:id="rId1"/>
    <sheet name="Summary" sheetId="2" r:id="rId2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7" i="2" l="1"/>
  <c r="B27" i="2"/>
  <c r="C26" i="2"/>
  <c r="B26" i="2"/>
  <c r="C25" i="2"/>
  <c r="B25" i="2"/>
  <c r="C24" i="2"/>
  <c r="B24" i="2"/>
  <c r="C23" i="2"/>
  <c r="B23" i="2"/>
  <c r="C19" i="2"/>
  <c r="B19" i="2"/>
  <c r="D18" i="2"/>
  <c r="C18" i="2"/>
  <c r="B18" i="2"/>
  <c r="D17" i="2"/>
  <c r="C17" i="2"/>
  <c r="B17" i="2"/>
  <c r="D16" i="2"/>
  <c r="C16" i="2"/>
  <c r="B16" i="2"/>
  <c r="D15" i="2"/>
  <c r="C15" i="2"/>
  <c r="B15" i="2"/>
  <c r="D14" i="2"/>
  <c r="C14" i="2"/>
  <c r="B14" i="2"/>
  <c r="D10" i="2"/>
  <c r="D9" i="2"/>
  <c r="D8" i="2"/>
  <c r="D7" i="2"/>
  <c r="D6" i="2"/>
  <c r="D5" i="2"/>
  <c r="I31" i="1"/>
  <c r="H31" i="1"/>
  <c r="G31" i="1"/>
  <c r="F31" i="1"/>
</calcChain>
</file>

<file path=xl/sharedStrings.xml><?xml version="1.0" encoding="utf-8"?>
<sst xmlns="http://schemas.openxmlformats.org/spreadsheetml/2006/main" count="199" uniqueCount="90">
  <si>
    <t>Contoso Storm &amp; Outage Restoration Tracker</t>
  </si>
  <si>
    <t>PUBLIC sample data for Microsoft MS-4019 training (MIT licence). Fictional — not real operational data.</t>
  </si>
  <si>
    <t>Event ID</t>
  </si>
  <si>
    <t>Date</t>
  </si>
  <si>
    <t>Operating Company</t>
  </si>
  <si>
    <t>Service District</t>
  </si>
  <si>
    <t>Cause</t>
  </si>
  <si>
    <t>Customers Affected</t>
  </si>
  <si>
    <t>Crews Dispatched</t>
  </si>
  <si>
    <t>Est. Restoration (hrs)</t>
  </si>
  <si>
    <t>Actual Restoration (hrs)</t>
  </si>
  <si>
    <t>Status</t>
  </si>
  <si>
    <t>EVT-1001</t>
  </si>
  <si>
    <t>2026-06-15</t>
  </si>
  <si>
    <t>Contoso South</t>
  </si>
  <si>
    <t>Cedar District</t>
  </si>
  <si>
    <t>Severe Thunderstorm</t>
  </si>
  <si>
    <t>Restored</t>
  </si>
  <si>
    <t>EVT-1002</t>
  </si>
  <si>
    <t>Maple District</t>
  </si>
  <si>
    <t>Vegetation Contact</t>
  </si>
  <si>
    <t>EVT-1003</t>
  </si>
  <si>
    <t>Contoso West</t>
  </si>
  <si>
    <t>Highland District</t>
  </si>
  <si>
    <t>EVT-1004</t>
  </si>
  <si>
    <t>2026-06-16</t>
  </si>
  <si>
    <t>Contoso East</t>
  </si>
  <si>
    <t>Riverbend District</t>
  </si>
  <si>
    <t>Equipment Failure</t>
  </si>
  <si>
    <t>EVT-1005</t>
  </si>
  <si>
    <t>Contoso North</t>
  </si>
  <si>
    <t>Summit District</t>
  </si>
  <si>
    <t>Animal Contact</t>
  </si>
  <si>
    <t>EVT-1006</t>
  </si>
  <si>
    <t>Lakeside District</t>
  </si>
  <si>
    <t>EVT-1007</t>
  </si>
  <si>
    <t>2026-06-17</t>
  </si>
  <si>
    <t>Prairie District</t>
  </si>
  <si>
    <t>EVT-1008</t>
  </si>
  <si>
    <t>Contoso Central</t>
  </si>
  <si>
    <t>EVT-1009</t>
  </si>
  <si>
    <t>2026-06-18</t>
  </si>
  <si>
    <t>Brookfield District</t>
  </si>
  <si>
    <t>EVT-1010</t>
  </si>
  <si>
    <t>Fairview District</t>
  </si>
  <si>
    <t>EVT-1011</t>
  </si>
  <si>
    <t>2026-06-19</t>
  </si>
  <si>
    <t>Westgate District</t>
  </si>
  <si>
    <t>Hurricane Outer Bands</t>
  </si>
  <si>
    <t>EVT-1012</t>
  </si>
  <si>
    <t>Eastpoint District</t>
  </si>
  <si>
    <t>EVT-1013</t>
  </si>
  <si>
    <t>Riverside District</t>
  </si>
  <si>
    <t>EVT-1014</t>
  </si>
  <si>
    <t>2026-06-20</t>
  </si>
  <si>
    <t>EVT-1015</t>
  </si>
  <si>
    <t>Northshore District</t>
  </si>
  <si>
    <t>EVT-1016</t>
  </si>
  <si>
    <t>Stonebridge District</t>
  </si>
  <si>
    <t>EVT-1017</t>
  </si>
  <si>
    <t>2026-06-21</t>
  </si>
  <si>
    <t>EVT-1018</t>
  </si>
  <si>
    <t>EVT-1019</t>
  </si>
  <si>
    <t>2026-06-22</t>
  </si>
  <si>
    <t>EVT-1020</t>
  </si>
  <si>
    <t>In Progress</t>
  </si>
  <si>
    <t>EVT-1021</t>
  </si>
  <si>
    <t>2026-06-23</t>
  </si>
  <si>
    <t>EVT-1022</t>
  </si>
  <si>
    <t>EVT-1023</t>
  </si>
  <si>
    <t>EVT-1024</t>
  </si>
  <si>
    <t>2026-06-24</t>
  </si>
  <si>
    <t>EVT-1025</t>
  </si>
  <si>
    <t>EVT-1026</t>
  </si>
  <si>
    <t>TOTAL / AVG</t>
  </si>
  <si>
    <t>Note: 'Actual Restoration (hrs)' = 0 indicates an event still In Progress (not yet restored).</t>
  </si>
  <si>
    <t>Restoration Summary — Storm Event (June 15–24, 2026)</t>
  </si>
  <si>
    <t>Auto-calculated from the Outage Log sheet. FICTITIOUS training data.</t>
  </si>
  <si>
    <t>Key Metrics</t>
  </si>
  <si>
    <t>Total outage events</t>
  </si>
  <si>
    <t>Total customers affected</t>
  </si>
  <si>
    <t>Largest single event (customers)</t>
  </si>
  <si>
    <t>Total crews dispatched</t>
  </si>
  <si>
    <t>Avg actual restoration, completed (hrs)</t>
  </si>
  <si>
    <t>Events still in progress</t>
  </si>
  <si>
    <t>By Operating Company</t>
  </si>
  <si>
    <t>Events</t>
  </si>
  <si>
    <t>Avg Actual Restoration (hrs)</t>
  </si>
  <si>
    <t>Total</t>
  </si>
  <si>
    <t>By Cause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</si>
</sst>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-"/>
    <numFmt numFmtId="165" formatCode="0.0;\(0.0\);\-"/>
    <numFmt numFmtId="166" formatCode="0.0"/>
  </numFmts>
  <fonts count="10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FFFFFF"/>
      <name val="Arial"/>
    </font>
    <font>
      <b/>
      <sz val="10"/>
      <color rgb="FFFFFFFF"/>
      <name val="Arial"/>
    </font>
    <font>
      <sz val="10"/>
      <color rgb="FF0000FF"/>
      <name val="Arial"/>
    </font>
    <font>
      <b/>
      <sz val="10"/>
      <name val="Arial"/>
    </font>
    <font>
      <i/>
      <sz val="8"/>
      <color rgb="FF595959"/>
      <name val="Arial"/>
    </font>
    <font>
      <b/>
      <sz val="11"/>
      <color rgb="FF1F3864"/>
      <name val="Arial"/>
    </font>
    <font>
      <sz val="10"/>
      <name val="Arial"/>
    </font>
    <font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EAF0FB"/>
      </patternFill>
    </fill>
    <fill>
      <patternFill patternType="solid">
        <fgColor rgb="FFD6E0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 wrapText="1"/>
    </xf>
    <xf numFmtId="164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right" vertical="center"/>
    </xf>
    <xf numFmtId="166" fontId="5" fillId="5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/>
    <xf numFmtId="0" fontId="6" fillId="0" borderId="0" xfId="0" applyFont="1"/>
    <xf numFmtId="0" fontId="7" fillId="0" borderId="0" xfId="0" applyFont="1"/>
    <xf numFmtId="0" fontId="8" fillId="0" borderId="1" xfId="0" applyFont="1" applyBorder="1" applyAlignment="1">
      <alignment horizontal="left" vertical="center" wrapText="1"/>
    </xf>
    <xf numFmtId="3" fontId="9" fillId="4" borderId="1" xfId="0" applyNumberFormat="1" applyFont="1" applyFill="1" applyBorder="1" applyAlignment="1">
      <alignment horizontal="right" vertical="center"/>
    </xf>
    <xf numFmtId="166" fontId="9" fillId="4" borderId="1" xfId="0" applyNumberFormat="1" applyFont="1" applyFill="1" applyBorder="1" applyAlignment="1">
      <alignment horizontal="right" vertical="center"/>
    </xf>
    <xf numFmtId="0" fontId="9" fillId="0" borderId="1" xfId="0" applyFont="1" applyBorder="1" applyAlignment="1">
      <alignment horizontal="right" vertical="center"/>
    </xf>
    <xf numFmtId="3" fontId="9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 wrapText="1"/>
    </xf>
    <xf numFmtId="3" fontId="5" fillId="5" borderId="1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0" fillId="0" borderId="0" xfId="0" applyAlignment="1"/>
    <xf numFmtId="0" fontId="0" fillId="5" borderId="0" xfId="0" applyFill="1" applyAlignment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showGridLines="0" tabSelected="1" workbookViewId="0">
      <pane ySplit="4" topLeftCell="A5" activePane="bottomLeft" state="frozen"/>
      <selection pane="bottomLeft"/>
    </sheetView>
  </sheetViews>
  <sheetFormatPr defaultRowHeight="15"/>
  <cols>
    <col min="1" max="1" width="10" customWidth="1"/>
    <col min="2" max="2" width="12" customWidth="1"/>
    <col min="3" max="3" width="20" customWidth="1"/>
    <col min="4" max="5" width="22" customWidth="1"/>
    <col min="6" max="6" width="16" customWidth="1"/>
    <col min="7" max="7" width="12" customWidth="1"/>
    <col min="8" max="9" width="14" customWidth="1"/>
    <col min="10" max="10" width="12" customWidth="1"/>
  </cols>
  <sheetData>
    <row r="1" spans="1:10" ht="26.1" customHeight="1">
      <c r="A1" s="24" t="s">
        <v>0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ht="15.95" customHeight="1">
      <c r="A2" s="26" t="s">
        <v>1</v>
      </c>
      <c r="B2" s="28"/>
      <c r="C2" s="28"/>
      <c r="D2" s="28"/>
      <c r="E2" s="28"/>
      <c r="F2" s="28"/>
      <c r="G2" s="28"/>
      <c r="H2" s="28"/>
      <c r="I2" s="28"/>
      <c r="J2" s="28"/>
    </row>
    <row r="4" spans="1:10" ht="30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3">
        <v>18420</v>
      </c>
      <c r="G5" s="4">
        <v>12</v>
      </c>
      <c r="H5" s="5">
        <v>8</v>
      </c>
      <c r="I5" s="5">
        <v>7.5</v>
      </c>
      <c r="J5" s="2" t="s">
        <v>17</v>
      </c>
    </row>
    <row r="6" spans="1:10">
      <c r="A6" s="6" t="s">
        <v>18</v>
      </c>
      <c r="B6" s="6" t="s">
        <v>13</v>
      </c>
      <c r="C6" s="6" t="s">
        <v>14</v>
      </c>
      <c r="D6" s="6" t="s">
        <v>19</v>
      </c>
      <c r="E6" s="6" t="s">
        <v>20</v>
      </c>
      <c r="F6" s="7">
        <v>6240</v>
      </c>
      <c r="G6" s="8">
        <v>5</v>
      </c>
      <c r="H6" s="9">
        <v>6</v>
      </c>
      <c r="I6" s="9">
        <v>6</v>
      </c>
      <c r="J6" s="6" t="s">
        <v>17</v>
      </c>
    </row>
    <row r="7" spans="1:10">
      <c r="A7" s="2" t="s">
        <v>21</v>
      </c>
      <c r="B7" s="2" t="s">
        <v>13</v>
      </c>
      <c r="C7" s="2" t="s">
        <v>22</v>
      </c>
      <c r="D7" s="2" t="s">
        <v>23</v>
      </c>
      <c r="E7" s="2" t="s">
        <v>16</v>
      </c>
      <c r="F7" s="3">
        <v>9870</v>
      </c>
      <c r="G7" s="4">
        <v>8</v>
      </c>
      <c r="H7" s="5">
        <v>10</v>
      </c>
      <c r="I7" s="5">
        <v>11</v>
      </c>
      <c r="J7" s="2" t="s">
        <v>17</v>
      </c>
    </row>
    <row r="8" spans="1:10">
      <c r="A8" s="6" t="s">
        <v>24</v>
      </c>
      <c r="B8" s="6" t="s">
        <v>25</v>
      </c>
      <c r="C8" s="6" t="s">
        <v>26</v>
      </c>
      <c r="D8" s="6" t="s">
        <v>27</v>
      </c>
      <c r="E8" s="6" t="s">
        <v>28</v>
      </c>
      <c r="F8" s="7">
        <v>3110</v>
      </c>
      <c r="G8" s="8">
        <v>3</v>
      </c>
      <c r="H8" s="9">
        <v>5</v>
      </c>
      <c r="I8" s="9">
        <v>4.5</v>
      </c>
      <c r="J8" s="6" t="s">
        <v>17</v>
      </c>
    </row>
    <row r="9" spans="1:10">
      <c r="A9" s="2" t="s">
        <v>29</v>
      </c>
      <c r="B9" s="2" t="s">
        <v>25</v>
      </c>
      <c r="C9" s="2" t="s">
        <v>30</v>
      </c>
      <c r="D9" s="2" t="s">
        <v>31</v>
      </c>
      <c r="E9" s="2" t="s">
        <v>32</v>
      </c>
      <c r="F9" s="3">
        <v>740</v>
      </c>
      <c r="G9" s="4">
        <v>1</v>
      </c>
      <c r="H9" s="5">
        <v>3</v>
      </c>
      <c r="I9" s="5">
        <v>2</v>
      </c>
      <c r="J9" s="2" t="s">
        <v>17</v>
      </c>
    </row>
    <row r="10" spans="1:10">
      <c r="A10" s="6" t="s">
        <v>33</v>
      </c>
      <c r="B10" s="6" t="s">
        <v>25</v>
      </c>
      <c r="C10" s="6" t="s">
        <v>14</v>
      </c>
      <c r="D10" s="6" t="s">
        <v>34</v>
      </c>
      <c r="E10" s="6" t="s">
        <v>16</v>
      </c>
      <c r="F10" s="7">
        <v>22150</v>
      </c>
      <c r="G10" s="8">
        <v>15</v>
      </c>
      <c r="H10" s="9">
        <v>12</v>
      </c>
      <c r="I10" s="9">
        <v>14</v>
      </c>
      <c r="J10" s="6" t="s">
        <v>17</v>
      </c>
    </row>
    <row r="11" spans="1:10">
      <c r="A11" s="2" t="s">
        <v>35</v>
      </c>
      <c r="B11" s="2" t="s">
        <v>36</v>
      </c>
      <c r="C11" s="2" t="s">
        <v>22</v>
      </c>
      <c r="D11" s="2" t="s">
        <v>37</v>
      </c>
      <c r="E11" s="2" t="s">
        <v>20</v>
      </c>
      <c r="F11" s="3">
        <v>4560</v>
      </c>
      <c r="G11" s="4">
        <v>4</v>
      </c>
      <c r="H11" s="5">
        <v>6</v>
      </c>
      <c r="I11" s="5">
        <v>5.5</v>
      </c>
      <c r="J11" s="2" t="s">
        <v>17</v>
      </c>
    </row>
    <row r="12" spans="1:10">
      <c r="A12" s="6" t="s">
        <v>38</v>
      </c>
      <c r="B12" s="6" t="s">
        <v>36</v>
      </c>
      <c r="C12" s="6" t="s">
        <v>39</v>
      </c>
      <c r="D12" s="6" t="s">
        <v>15</v>
      </c>
      <c r="E12" s="6" t="s">
        <v>28</v>
      </c>
      <c r="F12" s="7">
        <v>2980</v>
      </c>
      <c r="G12" s="8">
        <v>3</v>
      </c>
      <c r="H12" s="9">
        <v>4</v>
      </c>
      <c r="I12" s="9">
        <v>4</v>
      </c>
      <c r="J12" s="6" t="s">
        <v>17</v>
      </c>
    </row>
    <row r="13" spans="1:10">
      <c r="A13" s="2" t="s">
        <v>40</v>
      </c>
      <c r="B13" s="2" t="s">
        <v>41</v>
      </c>
      <c r="C13" s="2" t="s">
        <v>26</v>
      </c>
      <c r="D13" s="2" t="s">
        <v>42</v>
      </c>
      <c r="E13" s="2" t="s">
        <v>16</v>
      </c>
      <c r="F13" s="3">
        <v>7330</v>
      </c>
      <c r="G13" s="4">
        <v>6</v>
      </c>
      <c r="H13" s="5">
        <v>9</v>
      </c>
      <c r="I13" s="5">
        <v>10</v>
      </c>
      <c r="J13" s="2" t="s">
        <v>17</v>
      </c>
    </row>
    <row r="14" spans="1:10">
      <c r="A14" s="6" t="s">
        <v>43</v>
      </c>
      <c r="B14" s="6" t="s">
        <v>41</v>
      </c>
      <c r="C14" s="6" t="s">
        <v>30</v>
      </c>
      <c r="D14" s="6" t="s">
        <v>44</v>
      </c>
      <c r="E14" s="6" t="s">
        <v>28</v>
      </c>
      <c r="F14" s="7">
        <v>1620</v>
      </c>
      <c r="G14" s="8">
        <v>2</v>
      </c>
      <c r="H14" s="9">
        <v>4</v>
      </c>
      <c r="I14" s="9">
        <v>3.5</v>
      </c>
      <c r="J14" s="6" t="s">
        <v>17</v>
      </c>
    </row>
    <row r="15" spans="1:10">
      <c r="A15" s="2" t="s">
        <v>45</v>
      </c>
      <c r="B15" s="2" t="s">
        <v>46</v>
      </c>
      <c r="C15" s="2" t="s">
        <v>14</v>
      </c>
      <c r="D15" s="2" t="s">
        <v>47</v>
      </c>
      <c r="E15" s="2" t="s">
        <v>48</v>
      </c>
      <c r="F15" s="3">
        <v>41200</v>
      </c>
      <c r="G15" s="4">
        <v>28</v>
      </c>
      <c r="H15" s="5">
        <v>24</v>
      </c>
      <c r="I15" s="5">
        <v>26</v>
      </c>
      <c r="J15" s="2" t="s">
        <v>17</v>
      </c>
    </row>
    <row r="16" spans="1:10">
      <c r="A16" s="6" t="s">
        <v>49</v>
      </c>
      <c r="B16" s="6" t="s">
        <v>46</v>
      </c>
      <c r="C16" s="6" t="s">
        <v>22</v>
      </c>
      <c r="D16" s="6" t="s">
        <v>50</v>
      </c>
      <c r="E16" s="6" t="s">
        <v>48</v>
      </c>
      <c r="F16" s="7">
        <v>15640</v>
      </c>
      <c r="G16" s="8">
        <v>14</v>
      </c>
      <c r="H16" s="9">
        <v>18</v>
      </c>
      <c r="I16" s="9">
        <v>20</v>
      </c>
      <c r="J16" s="6" t="s">
        <v>17</v>
      </c>
    </row>
    <row r="17" spans="1:10">
      <c r="A17" s="2" t="s">
        <v>51</v>
      </c>
      <c r="B17" s="2" t="s">
        <v>46</v>
      </c>
      <c r="C17" s="2" t="s">
        <v>14</v>
      </c>
      <c r="D17" s="2" t="s">
        <v>52</v>
      </c>
      <c r="E17" s="2" t="s">
        <v>48</v>
      </c>
      <c r="F17" s="3">
        <v>28910</v>
      </c>
      <c r="G17" s="4">
        <v>22</v>
      </c>
      <c r="H17" s="5">
        <v>20</v>
      </c>
      <c r="I17" s="5">
        <v>23</v>
      </c>
      <c r="J17" s="2" t="s">
        <v>17</v>
      </c>
    </row>
    <row r="18" spans="1:10">
      <c r="A18" s="6" t="s">
        <v>53</v>
      </c>
      <c r="B18" s="6" t="s">
        <v>54</v>
      </c>
      <c r="C18" s="6" t="s">
        <v>39</v>
      </c>
      <c r="D18" s="6" t="s">
        <v>15</v>
      </c>
      <c r="E18" s="6" t="s">
        <v>20</v>
      </c>
      <c r="F18" s="7">
        <v>5120</v>
      </c>
      <c r="G18" s="8">
        <v>5</v>
      </c>
      <c r="H18" s="9">
        <v>7</v>
      </c>
      <c r="I18" s="9">
        <v>6.5</v>
      </c>
      <c r="J18" s="6" t="s">
        <v>17</v>
      </c>
    </row>
    <row r="19" spans="1:10">
      <c r="A19" s="2" t="s">
        <v>55</v>
      </c>
      <c r="B19" s="2" t="s">
        <v>54</v>
      </c>
      <c r="C19" s="2" t="s">
        <v>26</v>
      </c>
      <c r="D19" s="2" t="s">
        <v>56</v>
      </c>
      <c r="E19" s="2" t="s">
        <v>48</v>
      </c>
      <c r="F19" s="3">
        <v>19480</v>
      </c>
      <c r="G19" s="4">
        <v>16</v>
      </c>
      <c r="H19" s="5">
        <v>16</v>
      </c>
      <c r="I19" s="5">
        <v>18</v>
      </c>
      <c r="J19" s="2" t="s">
        <v>17</v>
      </c>
    </row>
    <row r="20" spans="1:10">
      <c r="A20" s="6" t="s">
        <v>57</v>
      </c>
      <c r="B20" s="6" t="s">
        <v>54</v>
      </c>
      <c r="C20" s="6" t="s">
        <v>30</v>
      </c>
      <c r="D20" s="6" t="s">
        <v>58</v>
      </c>
      <c r="E20" s="6" t="s">
        <v>16</v>
      </c>
      <c r="F20" s="7">
        <v>6890</v>
      </c>
      <c r="G20" s="8">
        <v>6</v>
      </c>
      <c r="H20" s="9">
        <v>8</v>
      </c>
      <c r="I20" s="9">
        <v>7</v>
      </c>
      <c r="J20" s="6" t="s">
        <v>17</v>
      </c>
    </row>
    <row r="21" spans="1:10">
      <c r="A21" s="2" t="s">
        <v>59</v>
      </c>
      <c r="B21" s="2" t="s">
        <v>60</v>
      </c>
      <c r="C21" s="2" t="s">
        <v>22</v>
      </c>
      <c r="D21" s="2" t="s">
        <v>23</v>
      </c>
      <c r="E21" s="2" t="s">
        <v>28</v>
      </c>
      <c r="F21" s="3">
        <v>2450</v>
      </c>
      <c r="G21" s="4">
        <v>2</v>
      </c>
      <c r="H21" s="5">
        <v>5</v>
      </c>
      <c r="I21" s="5">
        <v>5</v>
      </c>
      <c r="J21" s="2" t="s">
        <v>17</v>
      </c>
    </row>
    <row r="22" spans="1:10">
      <c r="A22" s="6" t="s">
        <v>61</v>
      </c>
      <c r="B22" s="6" t="s">
        <v>60</v>
      </c>
      <c r="C22" s="6" t="s">
        <v>14</v>
      </c>
      <c r="D22" s="6" t="s">
        <v>15</v>
      </c>
      <c r="E22" s="6" t="s">
        <v>20</v>
      </c>
      <c r="F22" s="7">
        <v>3760</v>
      </c>
      <c r="G22" s="8">
        <v>3</v>
      </c>
      <c r="H22" s="9">
        <v>5</v>
      </c>
      <c r="I22" s="9">
        <v>4.5</v>
      </c>
      <c r="J22" s="6" t="s">
        <v>17</v>
      </c>
    </row>
    <row r="23" spans="1:10">
      <c r="A23" s="2" t="s">
        <v>62</v>
      </c>
      <c r="B23" s="2" t="s">
        <v>63</v>
      </c>
      <c r="C23" s="2" t="s">
        <v>26</v>
      </c>
      <c r="D23" s="2" t="s">
        <v>27</v>
      </c>
      <c r="E23" s="2" t="s">
        <v>32</v>
      </c>
      <c r="F23" s="3">
        <v>560</v>
      </c>
      <c r="G23" s="4">
        <v>1</v>
      </c>
      <c r="H23" s="5">
        <v>2</v>
      </c>
      <c r="I23" s="5">
        <v>1.5</v>
      </c>
      <c r="J23" s="2" t="s">
        <v>17</v>
      </c>
    </row>
    <row r="24" spans="1:10">
      <c r="A24" s="6" t="s">
        <v>64</v>
      </c>
      <c r="B24" s="6" t="s">
        <v>63</v>
      </c>
      <c r="C24" s="6" t="s">
        <v>14</v>
      </c>
      <c r="D24" s="6" t="s">
        <v>34</v>
      </c>
      <c r="E24" s="6" t="s">
        <v>16</v>
      </c>
      <c r="F24" s="7">
        <v>13270</v>
      </c>
      <c r="G24" s="8">
        <v>11</v>
      </c>
      <c r="H24" s="9">
        <v>10</v>
      </c>
      <c r="I24" s="9">
        <v>12</v>
      </c>
      <c r="J24" s="6" t="s">
        <v>65</v>
      </c>
    </row>
    <row r="25" spans="1:10">
      <c r="A25" s="2" t="s">
        <v>66</v>
      </c>
      <c r="B25" s="2" t="s">
        <v>67</v>
      </c>
      <c r="C25" s="2" t="s">
        <v>22</v>
      </c>
      <c r="D25" s="2" t="s">
        <v>37</v>
      </c>
      <c r="E25" s="2" t="s">
        <v>16</v>
      </c>
      <c r="F25" s="3">
        <v>8940</v>
      </c>
      <c r="G25" s="4">
        <v>7</v>
      </c>
      <c r="H25" s="5">
        <v>9</v>
      </c>
      <c r="I25" s="5">
        <v>0</v>
      </c>
      <c r="J25" s="2" t="s">
        <v>65</v>
      </c>
    </row>
    <row r="26" spans="1:10">
      <c r="A26" s="6" t="s">
        <v>68</v>
      </c>
      <c r="B26" s="6" t="s">
        <v>67</v>
      </c>
      <c r="C26" s="6" t="s">
        <v>30</v>
      </c>
      <c r="D26" s="6" t="s">
        <v>31</v>
      </c>
      <c r="E26" s="6" t="s">
        <v>28</v>
      </c>
      <c r="F26" s="7">
        <v>2030</v>
      </c>
      <c r="G26" s="8">
        <v>2</v>
      </c>
      <c r="H26" s="9">
        <v>4</v>
      </c>
      <c r="I26" s="9">
        <v>0</v>
      </c>
      <c r="J26" s="6" t="s">
        <v>65</v>
      </c>
    </row>
    <row r="27" spans="1:10">
      <c r="A27" s="2" t="s">
        <v>69</v>
      </c>
      <c r="B27" s="2" t="s">
        <v>67</v>
      </c>
      <c r="C27" s="2" t="s">
        <v>39</v>
      </c>
      <c r="D27" s="2" t="s">
        <v>15</v>
      </c>
      <c r="E27" s="2" t="s">
        <v>16</v>
      </c>
      <c r="F27" s="3">
        <v>7610</v>
      </c>
      <c r="G27" s="4">
        <v>6</v>
      </c>
      <c r="H27" s="5">
        <v>8</v>
      </c>
      <c r="I27" s="5">
        <v>0</v>
      </c>
      <c r="J27" s="2" t="s">
        <v>65</v>
      </c>
    </row>
    <row r="28" spans="1:10">
      <c r="A28" s="6" t="s">
        <v>70</v>
      </c>
      <c r="B28" s="6" t="s">
        <v>71</v>
      </c>
      <c r="C28" s="6" t="s">
        <v>14</v>
      </c>
      <c r="D28" s="6" t="s">
        <v>19</v>
      </c>
      <c r="E28" s="6" t="s">
        <v>20</v>
      </c>
      <c r="F28" s="7">
        <v>4480</v>
      </c>
      <c r="G28" s="8">
        <v>4</v>
      </c>
      <c r="H28" s="9">
        <v>6</v>
      </c>
      <c r="I28" s="9">
        <v>0</v>
      </c>
      <c r="J28" s="6" t="s">
        <v>65</v>
      </c>
    </row>
    <row r="29" spans="1:10">
      <c r="A29" s="2" t="s">
        <v>72</v>
      </c>
      <c r="B29" s="2" t="s">
        <v>71</v>
      </c>
      <c r="C29" s="2" t="s">
        <v>26</v>
      </c>
      <c r="D29" s="2" t="s">
        <v>42</v>
      </c>
      <c r="E29" s="2" t="s">
        <v>28</v>
      </c>
      <c r="F29" s="3">
        <v>1890</v>
      </c>
      <c r="G29" s="4">
        <v>2</v>
      </c>
      <c r="H29" s="5">
        <v>4</v>
      </c>
      <c r="I29" s="5">
        <v>0</v>
      </c>
      <c r="J29" s="2" t="s">
        <v>65</v>
      </c>
    </row>
    <row r="30" spans="1:10">
      <c r="A30" s="6" t="s">
        <v>73</v>
      </c>
      <c r="B30" s="6" t="s">
        <v>71</v>
      </c>
      <c r="C30" s="6" t="s">
        <v>22</v>
      </c>
      <c r="D30" s="6" t="s">
        <v>50</v>
      </c>
      <c r="E30" s="6" t="s">
        <v>16</v>
      </c>
      <c r="F30" s="7">
        <v>10240</v>
      </c>
      <c r="G30" s="8">
        <v>9</v>
      </c>
      <c r="H30" s="9">
        <v>11</v>
      </c>
      <c r="I30" s="9">
        <v>0</v>
      </c>
      <c r="J30" s="6" t="s">
        <v>65</v>
      </c>
    </row>
    <row r="31" spans="1:10">
      <c r="A31" s="25" t="s">
        <v>74</v>
      </c>
      <c r="B31" s="29"/>
      <c r="C31" s="29"/>
      <c r="D31" s="29"/>
      <c r="E31" s="29"/>
      <c r="F31" s="10" t="str">
        <f>SUM(F5:F30)</f>
        <v/>
      </c>
      <c r="G31" s="11" t="str">
        <f>SUM(G5:G30)</f>
        <v/>
      </c>
      <c r="H31" s="12" t="str">
        <f>AVERAGE(H5:H30)</f>
        <v/>
      </c>
      <c r="I31" s="12" t="str">
        <f>AVERAGEIF(I5:I30,"&gt;0")</f>
        <v/>
      </c>
      <c r="J31" s="13"/>
    </row>
    <row r="33" spans="1:1">
      <c r="A33" s="14" t="s">
        <v>75</v>
      </c>
    </row>
  </sheetData>
  <mergeCells count="3">
    <mergeCell ref="A1:J1"/>
    <mergeCell ref="A31:E3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"/>
  <sheetViews>
    <sheetView showGridLines="0" workbookViewId="0"/>
  </sheetViews>
  <sheetFormatPr defaultRowHeight="15"/>
  <cols>
    <col min="1" max="1" width="34" customWidth="1"/>
    <col min="2" max="2" width="12" customWidth="1"/>
    <col min="3" max="3" width="20" customWidth="1"/>
    <col min="4" max="4" width="26" customWidth="1"/>
  </cols>
  <sheetData>
    <row r="1" spans="1:4" ht="26.1" customHeight="1">
      <c r="A1" s="24" t="s">
        <v>76</v>
      </c>
      <c r="B1" s="28"/>
      <c r="C1" s="28"/>
      <c r="D1" s="28"/>
    </row>
    <row r="2" spans="1:4">
      <c r="A2" s="26" t="s">
        <v>77</v>
      </c>
      <c r="B2" s="28"/>
      <c r="C2" s="28"/>
      <c r="D2" s="28"/>
    </row>
    <row r="4" spans="1:4">
      <c r="A4" s="15" t="s">
        <v>78</v>
      </c>
    </row>
    <row r="5" spans="1:4">
      <c r="A5" s="27" t="s">
        <v>79</v>
      </c>
      <c r="B5" s="30"/>
      <c r="C5" s="30"/>
      <c r="D5" s="17" t="str">
        <f>COUNTA('Outage Log'!A5:A30)</f>
        <v/>
      </c>
    </row>
    <row r="6" spans="1:4">
      <c r="A6" s="27" t="s">
        <v>80</v>
      </c>
      <c r="B6" s="30"/>
      <c r="C6" s="30"/>
      <c r="D6" s="17" t="str">
        <f>SUM('Outage Log'!F5:F30)</f>
        <v/>
      </c>
    </row>
    <row r="7" spans="1:4">
      <c r="A7" s="27" t="s">
        <v>81</v>
      </c>
      <c r="B7" s="30"/>
      <c r="C7" s="30"/>
      <c r="D7" s="17" t="str">
        <f>MAX('Outage Log'!F5:F30)</f>
        <v/>
      </c>
    </row>
    <row r="8" spans="1:4">
      <c r="A8" s="27" t="s">
        <v>82</v>
      </c>
      <c r="B8" s="30"/>
      <c r="C8" s="30"/>
      <c r="D8" s="17" t="str">
        <f>SUM('Outage Log'!G5:G30)</f>
        <v/>
      </c>
    </row>
    <row r="9" spans="1:4">
      <c r="A9" s="27" t="s">
        <v>83</v>
      </c>
      <c r="B9" s="30"/>
      <c r="C9" s="30"/>
      <c r="D9" s="18" t="str">
        <f>AVERAGEIF('Outage Log'!I5:I30,"&gt;0")</f>
        <v/>
      </c>
    </row>
    <row r="10" spans="1:4">
      <c r="A10" s="27" t="s">
        <v>84</v>
      </c>
      <c r="B10" s="30"/>
      <c r="C10" s="30"/>
      <c r="D10" s="17" t="str">
        <f>COUNTIF('Outage Log'!J5:J30,"In Progress")</f>
        <v/>
      </c>
    </row>
    <row r="12" spans="1:4">
      <c r="A12" s="15" t="s">
        <v>85</v>
      </c>
    </row>
    <row r="13" spans="1:4" ht="27.95" customHeight="1">
      <c r="A13" s="1" t="s">
        <v>4</v>
      </c>
      <c r="B13" s="1" t="s">
        <v>86</v>
      </c>
      <c r="C13" s="1" t="s">
        <v>7</v>
      </c>
      <c r="D13" s="1" t="s">
        <v>87</v>
      </c>
    </row>
    <row r="14" spans="1:4">
      <c r="A14" s="16" t="s">
        <v>30</v>
      </c>
      <c r="B14" s="19" t="str">
        <f>COUNTIF('Outage Log'!C5:C30,A14)</f>
        <v/>
      </c>
      <c r="C14" s="20" t="str">
        <f>SUMIF('Outage Log'!C5:C30,A14,'Outage Log'!F5:F30)</f>
        <v/>
      </c>
      <c r="D14" s="21" t="str">
        <f>IFERROR(AVERAGEIFS('Outage Log'!I5:I30,'Outage Log'!C5:C30,A14,'Outage Log'!I5:I30,"&gt;0"),"-")</f>
        <v/>
      </c>
    </row>
    <row r="15" spans="1:4">
      <c r="A15" s="16" t="s">
        <v>14</v>
      </c>
      <c r="B15" s="19" t="str">
        <f>COUNTIF('Outage Log'!C5:C30,A15)</f>
        <v/>
      </c>
      <c r="C15" s="20" t="str">
        <f>SUMIF('Outage Log'!C5:C30,A15,'Outage Log'!F5:F30)</f>
        <v/>
      </c>
      <c r="D15" s="21" t="str">
        <f>IFERROR(AVERAGEIFS('Outage Log'!I5:I30,'Outage Log'!C5:C30,A15,'Outage Log'!I5:I30,"&gt;0"),"-")</f>
        <v/>
      </c>
    </row>
    <row r="16" spans="1:4">
      <c r="A16" s="16" t="s">
        <v>26</v>
      </c>
      <c r="B16" s="19" t="str">
        <f>COUNTIF('Outage Log'!C5:C30,A16)</f>
        <v/>
      </c>
      <c r="C16" s="20" t="str">
        <f>SUMIF('Outage Log'!C5:C30,A16,'Outage Log'!F5:F30)</f>
        <v/>
      </c>
      <c r="D16" s="21" t="str">
        <f>IFERROR(AVERAGEIFS('Outage Log'!I5:I30,'Outage Log'!C5:C30,A16,'Outage Log'!I5:I30,"&gt;0"),"-")</f>
        <v/>
      </c>
    </row>
    <row r="17" spans="1:4">
      <c r="A17" s="16" t="s">
        <v>39</v>
      </c>
      <c r="B17" s="19" t="str">
        <f>COUNTIF('Outage Log'!C5:C30,A17)</f>
        <v/>
      </c>
      <c r="C17" s="20" t="str">
        <f>SUMIF('Outage Log'!C5:C30,A17,'Outage Log'!F5:F30)</f>
        <v/>
      </c>
      <c r="D17" s="21" t="str">
        <f>IFERROR(AVERAGEIFS('Outage Log'!I5:I30,'Outage Log'!C5:C30,A17,'Outage Log'!I5:I30,"&gt;0"),"-")</f>
        <v/>
      </c>
    </row>
    <row r="18" spans="1:4">
      <c r="A18" s="16" t="s">
        <v>22</v>
      </c>
      <c r="B18" s="19" t="str">
        <f>COUNTIF('Outage Log'!C5:C30,A18)</f>
        <v/>
      </c>
      <c r="C18" s="20" t="str">
        <f>SUMIF('Outage Log'!C5:C30,A18,'Outage Log'!F5:F30)</f>
        <v/>
      </c>
      <c r="D18" s="21" t="str">
        <f>IFERROR(AVERAGEIFS('Outage Log'!I5:I30,'Outage Log'!C5:C30,A18,'Outage Log'!I5:I30,"&gt;0"),"-")</f>
        <v/>
      </c>
    </row>
    <row r="19" spans="1:4">
      <c r="A19" s="22" t="s">
        <v>88</v>
      </c>
      <c r="B19" s="11" t="str">
        <f>SUM(B14:B18)</f>
        <v/>
      </c>
      <c r="C19" s="23" t="str">
        <f>SUM(C14:C18)</f>
        <v/>
      </c>
      <c r="D19" s="11"/>
    </row>
    <row r="21" spans="1:4">
      <c r="A21" s="15" t="s">
        <v>89</v>
      </c>
    </row>
    <row r="22" spans="1:4">
      <c r="A22" s="1" t="s">
        <v>6</v>
      </c>
      <c r="B22" s="1" t="s">
        <v>86</v>
      </c>
      <c r="C22" s="1" t="s">
        <v>7</v>
      </c>
    </row>
    <row r="23" spans="1:4">
      <c r="A23" s="16" t="s">
        <v>16</v>
      </c>
      <c r="B23" s="19" t="str">
        <f>COUNTIF('Outage Log'!E5:E30,A23)</f>
        <v/>
      </c>
      <c r="C23" s="20" t="str">
        <f>SUMIF('Outage Log'!E5:E30,A23,'Outage Log'!F5:F30)</f>
        <v/>
      </c>
    </row>
    <row r="24" spans="1:4">
      <c r="A24" s="16" t="s">
        <v>48</v>
      </c>
      <c r="B24" s="19" t="str">
        <f>COUNTIF('Outage Log'!E5:E30,A24)</f>
        <v/>
      </c>
      <c r="C24" s="20" t="str">
        <f>SUMIF('Outage Log'!E5:E30,A24,'Outage Log'!F5:F30)</f>
        <v/>
      </c>
    </row>
    <row r="25" spans="1:4">
      <c r="A25" s="16" t="s">
        <v>20</v>
      </c>
      <c r="B25" s="19" t="str">
        <f>COUNTIF('Outage Log'!E5:E30,A25)</f>
        <v/>
      </c>
      <c r="C25" s="20" t="str">
        <f>SUMIF('Outage Log'!E5:E30,A25,'Outage Log'!F5:F30)</f>
        <v/>
      </c>
    </row>
    <row r="26" spans="1:4">
      <c r="A26" s="16" t="s">
        <v>28</v>
      </c>
      <c r="B26" s="19" t="str">
        <f>COUNTIF('Outage Log'!E5:E30,A26)</f>
        <v/>
      </c>
      <c r="C26" s="20" t="str">
        <f>SUMIF('Outage Log'!E5:E30,A26,'Outage Log'!F5:F30)</f>
        <v/>
      </c>
    </row>
    <row r="27" spans="1:4">
      <c r="A27" s="16" t="s">
        <v>32</v>
      </c>
      <c r="B27" s="19" t="str">
        <f>COUNTIF('Outage Log'!E5:E30,A27)</f>
        <v/>
      </c>
      <c r="C27" s="20" t="str">
        <f>SUMIF('Outage Log'!E5:E30,A27,'Outage Log'!F5:F30)</f>
        <v/>
      </c>
    </row>
  </sheetData>
  <mergeCells count="8">
    <mergeCell ref="A10:C10"/>
    <mergeCell ref="A1:D1"/>
    <mergeCell ref="A5:C5"/>
    <mergeCell ref="A8:C8"/>
    <mergeCell ref="A6:C6"/>
    <mergeCell ref="A9:C9"/>
    <mergeCell ref="A2:D2"/>
    <mergeCell ref="A7:C7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Andrew Conniff</cp:lastModifiedBy>
  <cp:revision/>
  <dcterms:created xsi:type="dcterms:W3CDTF">2026-06-25T02:45:26Z</dcterms:created>
  <dcterms:modified xsi:type="dcterms:W3CDTF">2026-06-25T13:52:50Z</dcterms:modified>
  <cp:category/>
  <cp:contentStatus/>
</cp:coreProperties>
</file>